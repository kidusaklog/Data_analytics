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Store_Data" sheetId="1" r:id="rId1"/>
    <sheet name="Store_Summary"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<sst xmlns="http://schemas.openxmlformats.org/spreadsheetml/2006/main" count="21" uniqueCount="21">
  <si>
    <t>Store</t>
  </si>
  <si>
    <t>Monthly Sales</t>
  </si>
  <si>
    <t>Store A</t>
  </si>
  <si>
    <t>Mean</t>
  </si>
  <si>
    <t>Store B</t>
  </si>
  <si>
    <t>Median</t>
  </si>
  <si>
    <t>Store C</t>
  </si>
  <si>
    <t>Mode</t>
  </si>
  <si>
    <t>Store D</t>
  </si>
  <si>
    <t>Range</t>
  </si>
  <si>
    <t>Store E</t>
  </si>
  <si>
    <t>Std Dev</t>
  </si>
  <si>
    <t>Store F</t>
  </si>
  <si>
    <t>Store G</t>
  </si>
  <si>
    <t>Store H</t>
  </si>
  <si>
    <t>Store I</t>
  </si>
  <si>
    <t>Store J</t>
  </si>
  <si>
    <t>Store K</t>
  </si>
  <si>
    <t>Store L</t>
  </si>
  <si>
    <t>Store Summary</t>
  </si>
  <si>
    <t>The overall average monthly sales across all stores is approximately 49.4, indicating moderate performance across locations. Most stores have sales clustered between 43 and 52, suggesting relatively consistent performance. However, Store H has a significantly higher value of 72, which increases the overall average and standard deviation. When this store is excluded, the variability drops considerably, showing that most stores perform within a tight range. This indicates that the majority of locations are stable, with one exceptional performer. The presence of this outlier suggests that leadership should investigate what is driving higher sales at Store H. Additional information such as location, marketing strategies, and customer traffic would help explain performance differences.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</si>
</sst>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177"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3"/>
  <sheetViews>
    <sheetView tabSelected="1" workbookViewId="0">
      <selection activeCell="E14" sqref="E14"/>
    </sheetView>
  </sheetViews>
  <sheetFormatPr defaultColWidth="9" defaultRowHeight="14.4" outlineLevelCol="4"/>
  <cols>
    <col min="4" max="4" width="12.4444444444444" customWidth="1"/>
    <col min="5" max="5" width="11.5555555555556" customWidth="1"/>
  </cols>
  <sheetData>
    <row r="1" spans="1:2">
      <c r="A1" t="s">
        <v>0</v>
      </c>
      <c r="B1" t="s">
        <v>1</v>
      </c>
    </row>
    <row r="2" spans="1:5">
      <c r="A2" t="s">
        <v>2</v>
      </c>
      <c r="B2">
        <v>51</v>
      </c>
      <c r="D2" t="s">
        <v>3</v>
      </c>
      <c r="E2">
        <f>AVERAGE(B2:B13)</f>
        <v>49.4166666666667</v>
      </c>
    </row>
    <row r="3" spans="1:5">
      <c r="A3" t="s">
        <v>4</v>
      </c>
      <c r="B3">
        <v>44</v>
      </c>
      <c r="D3" t="s">
        <v>5</v>
      </c>
      <c r="E3">
        <f>MEDIAN(B2:B13)</f>
        <v>47.5</v>
      </c>
    </row>
    <row r="4" spans="1:5">
      <c r="A4" t="s">
        <v>6</v>
      </c>
      <c r="B4">
        <v>49</v>
      </c>
      <c r="D4" t="s">
        <v>7</v>
      </c>
      <c r="E4" t="e">
        <f>MODE.SNGL(B2:B13)</f>
        <v>#NAME?</v>
      </c>
    </row>
    <row r="5" spans="1:5">
      <c r="A5" t="s">
        <v>8</v>
      </c>
      <c r="B5">
        <v>46</v>
      </c>
      <c r="D5" t="s">
        <v>9</v>
      </c>
      <c r="E5">
        <f>MAX(B2:B13)-MIN(B2:B13)</f>
        <v>29</v>
      </c>
    </row>
    <row r="6" spans="1:5">
      <c r="A6" t="s">
        <v>10</v>
      </c>
      <c r="B6">
        <v>52</v>
      </c>
      <c r="D6" t="s">
        <v>11</v>
      </c>
      <c r="E6">
        <f>_xlfn.STDEV.S(B2:B13)</f>
        <v>7.63316130545867</v>
      </c>
    </row>
    <row r="7" spans="1:2">
      <c r="A7" t="s">
        <v>12</v>
      </c>
      <c r="B7">
        <v>47</v>
      </c>
    </row>
    <row r="8" spans="1:2">
      <c r="A8" t="s">
        <v>13</v>
      </c>
      <c r="B8">
        <v>45</v>
      </c>
    </row>
    <row r="9" spans="1:2">
      <c r="A9" t="s">
        <v>14</v>
      </c>
      <c r="B9">
        <v>72</v>
      </c>
    </row>
    <row r="10" spans="1:2">
      <c r="A10" t="s">
        <v>15</v>
      </c>
      <c r="B10">
        <v>43</v>
      </c>
    </row>
    <row r="11" spans="1:2">
      <c r="A11" t="s">
        <v>16</v>
      </c>
      <c r="B11">
        <v>48</v>
      </c>
    </row>
    <row r="12" spans="1:2">
      <c r="A12" t="s">
        <v>17</v>
      </c>
      <c r="B12">
        <v>46</v>
      </c>
    </row>
    <row r="13" spans="1:2">
      <c r="A13" t="s">
        <v>18</v>
      </c>
      <c r="B13">
        <v>50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
  <sheetViews>
    <sheetView workbookViewId="0">
      <selection activeCell="M5" sqref="M5"/>
    </sheetView>
  </sheetViews>
  <sheetFormatPr defaultColWidth="9" defaultRowHeight="14.4" outlineLevelRow="1"/>
  <cols>
    <col min="1" max="1" width="17.3333333333333" customWidth="1"/>
  </cols>
  <sheetData>
    <row r="1" spans="1:1">
      <c r="A1" t="s">
        <v>19</v>
      </c>
    </row>
    <row r="2" spans="1:1">
      <c r="A2" t="s">
        <v>20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Store_Data</vt:lpstr>
      <vt:lpstr>Store_Summary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kidusaklog tesema</cp:lastModifiedBy>
  <dcterms:created xsi:type="dcterms:W3CDTF">2026-03-27T04:09:00Z</dcterms:created>
  <dcterms:modified xsi:type="dcterms:W3CDTF">2026-03-27T04:17:25Z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CB3F77F936B9441680B523A30F490970_12</vt:lpwstr>
  </property>
  <property fmtid="{D5CDD505-2E9C-101B-9397-08002B2CF9AE}" pid="3" name="KSOProductBuildVer">
    <vt:lpwstr>1033-12.2.0.23196</vt:lpwstr>
  </property>
</Properties>
</file>