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idu\Desktop\"/>
    </mc:Choice>
  </mc:AlternateContent>
  <xr:revisionPtr revIDLastSave="0" documentId="13_ncr:1_{DFAB033B-8D84-4D8D-9143-C88B1E102D3B}" xr6:coauthVersionLast="47" xr6:coauthVersionMax="47" xr10:uidLastSave="{00000000-0000-0000-0000-000000000000}"/>
  <bookViews>
    <workbookView xWindow="-108" yWindow="-108" windowWidth="23256" windowHeight="12456" activeTab="2" xr2:uid="{19D808DD-09B8-428A-A667-AE1FA2C45E83}"/>
  </bookViews>
  <sheets>
    <sheet name="by search term" sheetId="1" r:id="rId1"/>
    <sheet name="Sheet1" sheetId="4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D3" i="3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</calcChain>
</file>

<file path=xl/sharedStrings.xml><?xml version="1.0" encoding="utf-8"?>
<sst xmlns="http://schemas.openxmlformats.org/spreadsheetml/2006/main" count="152" uniqueCount="66">
  <si>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</si>
  <si>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</si>
  <si>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</si>
  <si>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</si>
  <si>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</si>
  <si>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</si>
  <si>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</si>
  <si>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</si>
  <si>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</si>
  <si>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</si>
  <si>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</si>
  <si>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</si>
  <si>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</si>
  <si>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</si>
  <si>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</si>
  <si>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</si>
  <si>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</si>
  <si>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</si>
  <si>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</si>
  <si>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</si>
  <si>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</si>
  <si>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</si>
  <si>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</si>
  <si>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</si>
  <si>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</si>
  <si>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</si>
  <si>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</si>
  <si>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</si>
  <si>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</si>
  <si>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</si>
  <si>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</si>
  <si>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</si>
  <si>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</si>
  <si>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</si>
  <si>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</si>
  <si>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</si>
  <si>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</si>
  <si>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</si>
  <si>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</si>
  <si>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</si>
  <si>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</si>
  <si>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</si>
  <si>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</si>
  <si>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</si>
  <si>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</si>
  <si>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</si>
  <si>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</si>
  <si>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</si>
  <si>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</si>
  <si>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</si>
  <si>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</si>
  <si>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</si>
  <si>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RegionID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</si>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</sst>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0" applyNumberFormat="1"/>
    <xf numFmtId="9" fontId="0" fillId="0" borderId="0" xfId="42" applyFont="1"/>
    <xf numFmtId="0" fontId="0" fillId="0" borderId="0" xfId="0" applyAlignment="1">
      <alignment horizontal="left"/>
    </xf>
    <xf numFmtId="0" fontId="17" fillId="33" borderId="0" xfId="0" applyFont="1" applyFill="1"/>
    <xf numFmtId="0" fontId="0" fillId="34" borderId="0" xfId="0" applyFill="1"/>
    <xf numFmtId="0" fontId="0" fillId="35" borderId="0" xfId="0" applyFill="1" applyAlignment="1">
      <alignment horizontal="left"/>
    </xf>
    <xf numFmtId="9" fontId="0" fillId="35" borderId="0" xfId="0" applyNumberFormat="1" applyFill="1"/>
    <xf numFmtId="0" fontId="0" fillId="0" borderId="0" xfId="0" applyFill="1"/>
    <xf numFmtId="0" fontId="0" fillId="36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rgbClr val="00B050"/>
          </a:solidFill>
          <a:ln w="63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rgbClr val="00B050"/>
            </a:solidFill>
            <a:ln w="6350">
              <a:solidFill>
                <a:schemeClr val="accent1"/>
              </a:solidFill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0.68</c:v>
                </c:pt>
                <c:pt idx="3">
                  <c:v>0.73</c:v>
                </c:pt>
                <c:pt idx="4">
                  <c:v>0.7</c:v>
                </c:pt>
                <c:pt idx="5">
                  <c:v>0.7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2-456D-A6ED-6144085489BB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</c:v>
                </c:pt>
                <c:pt idx="2">
                  <c:v>0.17</c:v>
                </c:pt>
                <c:pt idx="3">
                  <c:v>0.15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52-456D-A6ED-614408548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4414511"/>
        <c:axId val="1294425551"/>
      </c:barChart>
      <c:catAx>
        <c:axId val="129441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425551"/>
        <c:crosses val="autoZero"/>
        <c:auto val="1"/>
        <c:lblAlgn val="ctr"/>
        <c:lblOffset val="100"/>
        <c:noMultiLvlLbl val="0"/>
      </c:catAx>
      <c:valAx>
        <c:axId val="129442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41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36194</xdr:colOff>
      <xdr:row>7</xdr:row>
      <xdr:rowOff>164782</xdr:rowOff>
    </xdr:from>
    <xdr:to>
      <xdr:col>15</xdr:col>
      <xdr:colOff>251459</xdr:colOff>
      <xdr:row>28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BBD9B3-C5BC-4F32-AB6D-08539E07C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gley Pham" refreshedDate="46121.950537847224" createdVersion="8" refreshedVersion="8" minRefreshableVersion="3" recordCount="10" xr:uid="{305BA0EE-E1E3-4026-B229-28C9A664E5FA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19"/>
  </r>
  <r>
    <x v="3"/>
    <x v="0"/>
    <n v="0.73"/>
    <n v="0.15"/>
  </r>
  <r>
    <x v="4"/>
    <x v="1"/>
    <n v="0.7"/>
    <n v="0.18"/>
  </r>
  <r>
    <x v="5"/>
    <x v="1"/>
    <n v="0.76"/>
    <n v="0.14000000000000001"/>
  </r>
  <r>
    <x v="6"/>
    <x v="1"/>
    <n v="0.7"/>
    <n v="0.18"/>
  </r>
  <r>
    <x v="7"/>
    <x v="1"/>
    <n v="0.68"/>
    <n v="0.17"/>
  </r>
  <r>
    <x v="8"/>
    <x v="1"/>
    <n v="0.66"/>
    <n v="0.21"/>
  </r>
  <r>
    <x v="9"/>
    <x v="1"/>
    <n v="0.66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928D2-6FAC-42F2-AD16-55CD92DE383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formats count="6">
    <format dxfId="5">
      <pivotArea field="0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D5CF-96BA-4BCB-8998-6E9E8749991A}">
  <dimension ref="A1:K52"/>
  <sheetViews>
    <sheetView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2" max="2" width="21.88671875" bestFit="1" customWidth="1"/>
    <col min="3" max="3" width="13.109375" bestFit="1" customWidth="1"/>
    <col min="4" max="4" width="12.33203125" bestFit="1" customWidth="1"/>
    <col min="5" max="5" width="10.5546875" bestFit="1" customWidth="1"/>
    <col min="7" max="7" width="11.109375" bestFit="1" customWidth="1"/>
    <col min="10" max="10" width="10.33203125" bestFit="1" customWidth="1"/>
    <col min="11" max="11" width="14.5546875" bestFit="1" customWidth="1"/>
  </cols>
  <sheetData>
    <row r="1" spans="1:11" x14ac:dyDescent="0.3">
      <c r="A1" s="4" t="s">
        <v>52</v>
      </c>
      <c r="B1" s="4" t="s">
        <v>0</v>
      </c>
      <c r="C1" s="4" t="s">
        <v>53</v>
      </c>
      <c r="D1" s="4" t="s">
        <v>54</v>
      </c>
      <c r="E1" s="4" t="s">
        <v>55</v>
      </c>
      <c r="G1" s="8"/>
      <c r="H1" s="8"/>
      <c r="J1" s="8"/>
      <c r="K1" s="8"/>
    </row>
    <row r="2" spans="1:11" x14ac:dyDescent="0.3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3">
      <c r="A5">
        <v>4</v>
      </c>
      <c r="B5" t="s">
        <v>8</v>
      </c>
      <c r="C5" s="1">
        <v>0.66</v>
      </c>
      <c r="D5" s="1">
        <v>0.22</v>
      </c>
      <c r="E5" s="1">
        <v>0.12</v>
      </c>
    </row>
    <row r="6" spans="1:11" x14ac:dyDescent="0.3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  <c r="H7" s="9" t="s">
        <v>65</v>
      </c>
    </row>
    <row r="8" spans="1:11" x14ac:dyDescent="0.3">
      <c r="A8">
        <v>7</v>
      </c>
      <c r="B8" t="s">
        <v>16</v>
      </c>
      <c r="C8" s="1">
        <v>0.63</v>
      </c>
      <c r="D8" s="1">
        <v>0.22</v>
      </c>
      <c r="E8" s="1">
        <v>0.15</v>
      </c>
      <c r="H8" s="9">
        <f>COUNT(A2:A52)</f>
        <v>51</v>
      </c>
    </row>
    <row r="9" spans="1:11" x14ac:dyDescent="0.3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5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39</v>
      </c>
      <c r="C17" s="1">
        <v>0.7</v>
      </c>
      <c r="D17" s="1">
        <v>0.17</v>
      </c>
      <c r="E17" s="1">
        <v>0.13</v>
      </c>
    </row>
    <row r="18" spans="1:5" x14ac:dyDescent="0.3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32</v>
      </c>
      <c r="C20" s="1">
        <v>0.66</v>
      </c>
      <c r="D20" s="1">
        <v>0.2</v>
      </c>
      <c r="E20" s="1">
        <v>0.14000000000000001</v>
      </c>
    </row>
    <row r="21" spans="1:5" x14ac:dyDescent="0.3">
      <c r="A21">
        <v>20</v>
      </c>
      <c r="B21" t="s">
        <v>45</v>
      </c>
      <c r="C21" s="1">
        <v>0.71</v>
      </c>
      <c r="D21" s="1">
        <v>0.17</v>
      </c>
      <c r="E21" s="1">
        <v>0.12</v>
      </c>
    </row>
    <row r="22" spans="1:5" x14ac:dyDescent="0.3">
      <c r="A22">
        <v>21</v>
      </c>
      <c r="B22" t="s">
        <v>25</v>
      </c>
      <c r="C22" s="1">
        <v>0.61</v>
      </c>
      <c r="D22" s="1">
        <v>0.23</v>
      </c>
      <c r="E22" s="1">
        <v>0.16</v>
      </c>
    </row>
    <row r="23" spans="1:5" x14ac:dyDescent="0.3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21</v>
      </c>
      <c r="C24" s="1">
        <v>0.66</v>
      </c>
      <c r="D24" s="1">
        <v>0.2</v>
      </c>
      <c r="E24" s="1">
        <v>0.14000000000000001</v>
      </c>
    </row>
    <row r="25" spans="1:5" x14ac:dyDescent="0.3">
      <c r="A25">
        <v>24</v>
      </c>
      <c r="B25" t="s">
        <v>42</v>
      </c>
      <c r="C25" s="1">
        <v>0.68</v>
      </c>
      <c r="D25" s="1">
        <v>0.17</v>
      </c>
      <c r="E25" s="1">
        <v>0.15</v>
      </c>
    </row>
    <row r="26" spans="1:5" x14ac:dyDescent="0.3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29</v>
      </c>
      <c r="C27" s="1">
        <v>0.68</v>
      </c>
      <c r="D27" s="1">
        <v>0.19</v>
      </c>
      <c r="E27" s="1">
        <v>0.13</v>
      </c>
    </row>
    <row r="28" spans="1:5" x14ac:dyDescent="0.3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3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3">
      <c r="A30">
        <v>29</v>
      </c>
      <c r="B30" t="s">
        <v>11</v>
      </c>
      <c r="C30" s="1">
        <v>0.65</v>
      </c>
      <c r="D30" s="1">
        <v>0.21</v>
      </c>
      <c r="E30" s="1">
        <v>0.14000000000000001</v>
      </c>
    </row>
    <row r="31" spans="1:5" x14ac:dyDescent="0.3">
      <c r="A31">
        <v>30</v>
      </c>
      <c r="B31" t="s">
        <v>36</v>
      </c>
      <c r="C31" s="1">
        <v>0.66</v>
      </c>
      <c r="D31" s="1">
        <v>0.2</v>
      </c>
      <c r="E31" s="1">
        <v>0.14000000000000001</v>
      </c>
    </row>
    <row r="32" spans="1:5" x14ac:dyDescent="0.3">
      <c r="A32">
        <v>31</v>
      </c>
      <c r="B32" t="s">
        <v>27</v>
      </c>
      <c r="C32" s="1">
        <v>0.6</v>
      </c>
      <c r="D32" s="1">
        <v>0.23</v>
      </c>
      <c r="E32" s="1">
        <v>0.17</v>
      </c>
    </row>
    <row r="33" spans="1:5" x14ac:dyDescent="0.3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3">
      <c r="A34">
        <v>33</v>
      </c>
      <c r="B34" t="s">
        <v>41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6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13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17</v>
      </c>
      <c r="C45" s="1">
        <v>0.65</v>
      </c>
      <c r="D45" s="1">
        <v>0.22</v>
      </c>
      <c r="E45" s="1">
        <v>0.13</v>
      </c>
    </row>
    <row r="46" spans="1:5" x14ac:dyDescent="0.3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18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38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22</v>
      </c>
      <c r="C51" s="1">
        <v>0.66</v>
      </c>
      <c r="D51" s="1">
        <v>0.21</v>
      </c>
      <c r="E51" s="1">
        <v>0.13</v>
      </c>
    </row>
    <row r="52" spans="1:5" x14ac:dyDescent="0.3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52" xr:uid="{78E7D5CF-96BA-4BCB-8998-6E9E8749991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A436-8ADC-4F73-9909-DDD982A19A87}">
  <dimension ref="A1:D52"/>
  <sheetViews>
    <sheetView workbookViewId="0">
      <selection activeCell="F7" sqref="F7"/>
    </sheetView>
  </sheetViews>
  <sheetFormatPr defaultRowHeight="14.4" x14ac:dyDescent="0.3"/>
  <sheetData>
    <row r="1" spans="1:4" x14ac:dyDescent="0.3">
      <c r="A1" t="s">
        <v>0</v>
      </c>
      <c r="B1" t="s">
        <v>53</v>
      </c>
      <c r="C1" t="s">
        <v>54</v>
      </c>
      <c r="D1" t="s">
        <v>55</v>
      </c>
    </row>
    <row r="2" spans="1:4" x14ac:dyDescent="0.3">
      <c r="A2" t="s">
        <v>2</v>
      </c>
      <c r="B2" s="1">
        <v>0.64</v>
      </c>
      <c r="C2" s="1">
        <v>0.24</v>
      </c>
      <c r="D2" s="1">
        <v>0.12</v>
      </c>
    </row>
    <row r="3" spans="1:4" x14ac:dyDescent="0.3">
      <c r="A3" t="s">
        <v>49</v>
      </c>
      <c r="B3" s="1">
        <v>0.72</v>
      </c>
      <c r="C3" s="1">
        <v>0.15</v>
      </c>
      <c r="D3" s="1">
        <v>0.13</v>
      </c>
    </row>
    <row r="4" spans="1:4" x14ac:dyDescent="0.3">
      <c r="A4" t="s">
        <v>19</v>
      </c>
      <c r="B4" s="1">
        <v>0.66</v>
      </c>
      <c r="C4" s="1">
        <v>0.21</v>
      </c>
      <c r="D4" s="1">
        <v>0.13</v>
      </c>
    </row>
    <row r="5" spans="1:4" x14ac:dyDescent="0.3">
      <c r="A5" t="s">
        <v>8</v>
      </c>
      <c r="B5" s="1">
        <v>0.66</v>
      </c>
      <c r="C5" s="1">
        <v>0.22</v>
      </c>
      <c r="D5" s="1">
        <v>0.12</v>
      </c>
    </row>
    <row r="6" spans="1:4" x14ac:dyDescent="0.3">
      <c r="A6" t="s">
        <v>30</v>
      </c>
      <c r="B6" s="1">
        <v>0.65</v>
      </c>
      <c r="C6" s="1">
        <v>0.2</v>
      </c>
      <c r="D6" s="1">
        <v>0.15</v>
      </c>
    </row>
    <row r="7" spans="1:4" x14ac:dyDescent="0.3">
      <c r="A7" t="s">
        <v>40</v>
      </c>
      <c r="B7" s="1">
        <v>0.68</v>
      </c>
      <c r="C7" s="1">
        <v>0.18</v>
      </c>
      <c r="D7" s="1">
        <v>0.14000000000000001</v>
      </c>
    </row>
    <row r="8" spans="1:4" x14ac:dyDescent="0.3">
      <c r="A8" t="s">
        <v>16</v>
      </c>
      <c r="B8" s="1">
        <v>0.63</v>
      </c>
      <c r="C8" s="1">
        <v>0.22</v>
      </c>
      <c r="D8" s="1">
        <v>0.15</v>
      </c>
    </row>
    <row r="9" spans="1:4" x14ac:dyDescent="0.3">
      <c r="A9" t="s">
        <v>23</v>
      </c>
      <c r="B9" s="1">
        <v>0.64</v>
      </c>
      <c r="C9" s="1">
        <v>0.23</v>
      </c>
      <c r="D9" s="1">
        <v>0.13</v>
      </c>
    </row>
    <row r="10" spans="1:4" x14ac:dyDescent="0.3">
      <c r="A10" t="s">
        <v>51</v>
      </c>
      <c r="B10" s="1">
        <v>0.68</v>
      </c>
      <c r="C10" s="1">
        <v>0.16</v>
      </c>
      <c r="D10" s="1">
        <v>0.16</v>
      </c>
    </row>
    <row r="11" spans="1:4" x14ac:dyDescent="0.3">
      <c r="A11" t="s">
        <v>24</v>
      </c>
      <c r="B11" s="1">
        <v>0.63</v>
      </c>
      <c r="C11" s="1">
        <v>0.23</v>
      </c>
      <c r="D11" s="1">
        <v>0.14000000000000001</v>
      </c>
    </row>
    <row r="12" spans="1:4" x14ac:dyDescent="0.3">
      <c r="A12" t="s">
        <v>7</v>
      </c>
      <c r="B12" s="1">
        <v>0.63</v>
      </c>
      <c r="C12" s="1">
        <v>0.23</v>
      </c>
      <c r="D12" s="1">
        <v>0.14000000000000001</v>
      </c>
    </row>
    <row r="13" spans="1:4" x14ac:dyDescent="0.3">
      <c r="A13" t="s">
        <v>50</v>
      </c>
      <c r="B13" s="1">
        <v>0.73</v>
      </c>
      <c r="C13" s="1">
        <v>0.14000000000000001</v>
      </c>
      <c r="D13" s="1">
        <v>0.13</v>
      </c>
    </row>
    <row r="14" spans="1:4" x14ac:dyDescent="0.3">
      <c r="A14" t="s">
        <v>31</v>
      </c>
      <c r="B14" s="1">
        <v>0.67</v>
      </c>
      <c r="C14" s="1">
        <v>0.19</v>
      </c>
      <c r="D14" s="1">
        <v>0.14000000000000001</v>
      </c>
    </row>
    <row r="15" spans="1:4" x14ac:dyDescent="0.3">
      <c r="A15" t="s">
        <v>10</v>
      </c>
      <c r="B15" s="1">
        <v>0.63</v>
      </c>
      <c r="C15" s="1">
        <v>0.23</v>
      </c>
      <c r="D15" s="1">
        <v>0.14000000000000001</v>
      </c>
    </row>
    <row r="16" spans="1:4" x14ac:dyDescent="0.3">
      <c r="A16" t="s">
        <v>5</v>
      </c>
      <c r="B16" s="1">
        <v>0.63</v>
      </c>
      <c r="C16" s="1">
        <v>0.24</v>
      </c>
      <c r="D16" s="1">
        <v>0.13</v>
      </c>
    </row>
    <row r="17" spans="1:4" x14ac:dyDescent="0.3">
      <c r="A17" t="s">
        <v>39</v>
      </c>
      <c r="B17" s="1">
        <v>0.7</v>
      </c>
      <c r="C17" s="1">
        <v>0.17</v>
      </c>
      <c r="D17" s="1">
        <v>0.13</v>
      </c>
    </row>
    <row r="18" spans="1:4" x14ac:dyDescent="0.3">
      <c r="A18" t="s">
        <v>26</v>
      </c>
      <c r="B18" s="1">
        <v>0.67</v>
      </c>
      <c r="C18" s="1">
        <v>0.19</v>
      </c>
      <c r="D18" s="1">
        <v>0.14000000000000001</v>
      </c>
    </row>
    <row r="19" spans="1:4" x14ac:dyDescent="0.3">
      <c r="A19" t="s">
        <v>4</v>
      </c>
      <c r="B19" s="1">
        <v>0.64</v>
      </c>
      <c r="C19" s="1">
        <v>0.23</v>
      </c>
      <c r="D19" s="1">
        <v>0.13</v>
      </c>
    </row>
    <row r="20" spans="1:4" x14ac:dyDescent="0.3">
      <c r="A20" t="s">
        <v>32</v>
      </c>
      <c r="B20" s="1">
        <v>0.66</v>
      </c>
      <c r="C20" s="1">
        <v>0.2</v>
      </c>
      <c r="D20" s="1">
        <v>0.14000000000000001</v>
      </c>
    </row>
    <row r="21" spans="1:4" x14ac:dyDescent="0.3">
      <c r="A21" t="s">
        <v>45</v>
      </c>
      <c r="B21" s="1">
        <v>0.71</v>
      </c>
      <c r="C21" s="1">
        <v>0.17</v>
      </c>
      <c r="D21" s="1">
        <v>0.12</v>
      </c>
    </row>
    <row r="22" spans="1:4" x14ac:dyDescent="0.3">
      <c r="A22" t="s">
        <v>25</v>
      </c>
      <c r="B22" s="1">
        <v>0.61</v>
      </c>
      <c r="C22" s="1">
        <v>0.23</v>
      </c>
      <c r="D22" s="1">
        <v>0.16</v>
      </c>
    </row>
    <row r="23" spans="1:4" x14ac:dyDescent="0.3">
      <c r="A23" t="s">
        <v>43</v>
      </c>
      <c r="B23" s="1">
        <v>0.62</v>
      </c>
      <c r="C23" s="1">
        <v>0.21</v>
      </c>
      <c r="D23" s="1">
        <v>0.17</v>
      </c>
    </row>
    <row r="24" spans="1:4" x14ac:dyDescent="0.3">
      <c r="A24" t="s">
        <v>21</v>
      </c>
      <c r="B24" s="1">
        <v>0.66</v>
      </c>
      <c r="C24" s="1">
        <v>0.2</v>
      </c>
      <c r="D24" s="1">
        <v>0.14000000000000001</v>
      </c>
    </row>
    <row r="25" spans="1:4" x14ac:dyDescent="0.3">
      <c r="A25" t="s">
        <v>42</v>
      </c>
      <c r="B25" s="1">
        <v>0.68</v>
      </c>
      <c r="C25" s="1">
        <v>0.17</v>
      </c>
      <c r="D25" s="1">
        <v>0.15</v>
      </c>
    </row>
    <row r="26" spans="1:4" x14ac:dyDescent="0.3">
      <c r="A26" t="s">
        <v>28</v>
      </c>
      <c r="B26" s="1">
        <v>0.68</v>
      </c>
      <c r="C26" s="1">
        <v>0.2</v>
      </c>
      <c r="D26" s="1">
        <v>0.12</v>
      </c>
    </row>
    <row r="27" spans="1:4" x14ac:dyDescent="0.3">
      <c r="A27" t="s">
        <v>29</v>
      </c>
      <c r="B27" s="1">
        <v>0.68</v>
      </c>
      <c r="C27" s="1">
        <v>0.19</v>
      </c>
      <c r="D27" s="1">
        <v>0.13</v>
      </c>
    </row>
    <row r="28" spans="1:4" x14ac:dyDescent="0.3">
      <c r="A28" t="s">
        <v>48</v>
      </c>
      <c r="B28" s="1">
        <v>0.73</v>
      </c>
      <c r="C28" s="1">
        <v>0.15</v>
      </c>
      <c r="D28" s="1">
        <v>0.12</v>
      </c>
    </row>
    <row r="29" spans="1:4" x14ac:dyDescent="0.3">
      <c r="A29" t="s">
        <v>35</v>
      </c>
      <c r="B29" s="1">
        <v>0.7</v>
      </c>
      <c r="C29" s="1">
        <v>0.18</v>
      </c>
      <c r="D29" s="1">
        <v>0.12</v>
      </c>
    </row>
    <row r="30" spans="1:4" x14ac:dyDescent="0.3">
      <c r="A30" t="s">
        <v>11</v>
      </c>
      <c r="B30" s="1">
        <v>0.65</v>
      </c>
      <c r="C30" s="1">
        <v>0.21</v>
      </c>
      <c r="D30" s="1">
        <v>0.14000000000000001</v>
      </c>
    </row>
    <row r="31" spans="1:4" x14ac:dyDescent="0.3">
      <c r="A31" t="s">
        <v>36</v>
      </c>
      <c r="B31" s="1">
        <v>0.66</v>
      </c>
      <c r="C31" s="1">
        <v>0.2</v>
      </c>
      <c r="D31" s="1">
        <v>0.14000000000000001</v>
      </c>
    </row>
    <row r="32" spans="1:4" x14ac:dyDescent="0.3">
      <c r="A32" t="s">
        <v>27</v>
      </c>
      <c r="B32" s="1">
        <v>0.6</v>
      </c>
      <c r="C32" s="1">
        <v>0.23</v>
      </c>
      <c r="D32" s="1">
        <v>0.17</v>
      </c>
    </row>
    <row r="33" spans="1:4" x14ac:dyDescent="0.3">
      <c r="A33" t="s">
        <v>33</v>
      </c>
      <c r="B33" s="1">
        <v>0.66</v>
      </c>
      <c r="C33" s="1">
        <v>0.2</v>
      </c>
      <c r="D33" s="1">
        <v>0.14000000000000001</v>
      </c>
    </row>
    <row r="34" spans="1:4" x14ac:dyDescent="0.3">
      <c r="A34" t="s">
        <v>41</v>
      </c>
      <c r="B34" s="1">
        <v>0.63</v>
      </c>
      <c r="C34" s="1">
        <v>0.21</v>
      </c>
      <c r="D34" s="1">
        <v>0.16</v>
      </c>
    </row>
    <row r="35" spans="1:4" x14ac:dyDescent="0.3">
      <c r="A35" t="s">
        <v>6</v>
      </c>
      <c r="B35" s="1">
        <v>0.64</v>
      </c>
      <c r="C35" s="1">
        <v>0.23</v>
      </c>
      <c r="D35" s="1">
        <v>0.13</v>
      </c>
    </row>
    <row r="36" spans="1:4" x14ac:dyDescent="0.3">
      <c r="A36" t="s">
        <v>34</v>
      </c>
      <c r="B36" s="1">
        <v>0.7</v>
      </c>
      <c r="C36" s="1">
        <v>0.18</v>
      </c>
      <c r="D36" s="1">
        <v>0.12</v>
      </c>
    </row>
    <row r="37" spans="1:4" x14ac:dyDescent="0.3">
      <c r="A37" t="s">
        <v>13</v>
      </c>
      <c r="B37" s="1">
        <v>0.63</v>
      </c>
      <c r="C37" s="1">
        <v>0.23</v>
      </c>
      <c r="D37" s="1">
        <v>0.14000000000000001</v>
      </c>
    </row>
    <row r="38" spans="1:4" x14ac:dyDescent="0.3">
      <c r="A38" t="s">
        <v>12</v>
      </c>
      <c r="B38" s="1">
        <v>0.69</v>
      </c>
      <c r="C38" s="1">
        <v>0.19</v>
      </c>
      <c r="D38" s="1">
        <v>0.12</v>
      </c>
    </row>
    <row r="39" spans="1:4" x14ac:dyDescent="0.3">
      <c r="A39" t="s">
        <v>37</v>
      </c>
      <c r="B39" s="1">
        <v>0.68</v>
      </c>
      <c r="C39" s="1">
        <v>0.18</v>
      </c>
      <c r="D39" s="1">
        <v>0.14000000000000001</v>
      </c>
    </row>
    <row r="40" spans="1:4" x14ac:dyDescent="0.3">
      <c r="A40" t="s">
        <v>15</v>
      </c>
      <c r="B40" s="1">
        <v>0.62</v>
      </c>
      <c r="C40" s="1">
        <v>0.23</v>
      </c>
      <c r="D40" s="1">
        <v>0.15</v>
      </c>
    </row>
    <row r="41" spans="1:4" x14ac:dyDescent="0.3">
      <c r="A41" t="s">
        <v>20</v>
      </c>
      <c r="B41" s="1">
        <v>0.64</v>
      </c>
      <c r="C41" s="1">
        <v>0.23</v>
      </c>
      <c r="D41" s="1">
        <v>0.13</v>
      </c>
    </row>
    <row r="42" spans="1:4" x14ac:dyDescent="0.3">
      <c r="A42" t="s">
        <v>1</v>
      </c>
      <c r="B42" s="1">
        <v>0.66</v>
      </c>
      <c r="C42" s="1">
        <v>0.23</v>
      </c>
      <c r="D42" s="1">
        <v>0.11</v>
      </c>
    </row>
    <row r="43" spans="1:4" x14ac:dyDescent="0.3">
      <c r="A43" t="s">
        <v>44</v>
      </c>
      <c r="B43" s="1">
        <v>0.76</v>
      </c>
      <c r="C43" s="1">
        <v>0.14000000000000001</v>
      </c>
      <c r="D43" s="1">
        <v>0.1</v>
      </c>
    </row>
    <row r="44" spans="1:4" x14ac:dyDescent="0.3">
      <c r="A44" t="s">
        <v>3</v>
      </c>
      <c r="B44" s="1">
        <v>0.65</v>
      </c>
      <c r="C44" s="1">
        <v>0.22</v>
      </c>
      <c r="D44" s="1">
        <v>0.13</v>
      </c>
    </row>
    <row r="45" spans="1:4" x14ac:dyDescent="0.3">
      <c r="A45" t="s">
        <v>17</v>
      </c>
      <c r="B45" s="1">
        <v>0.65</v>
      </c>
      <c r="C45" s="1">
        <v>0.22</v>
      </c>
      <c r="D45" s="1">
        <v>0.13</v>
      </c>
    </row>
    <row r="46" spans="1:4" x14ac:dyDescent="0.3">
      <c r="A46" t="s">
        <v>9</v>
      </c>
      <c r="B46" s="1">
        <v>0.66</v>
      </c>
      <c r="C46" s="1">
        <v>0.21</v>
      </c>
      <c r="D46" s="1">
        <v>0.13</v>
      </c>
    </row>
    <row r="47" spans="1:4" x14ac:dyDescent="0.3">
      <c r="A47" t="s">
        <v>47</v>
      </c>
      <c r="B47" s="1">
        <v>0.69</v>
      </c>
      <c r="C47" s="1">
        <v>0.17</v>
      </c>
      <c r="D47" s="1">
        <v>0.14000000000000001</v>
      </c>
    </row>
    <row r="48" spans="1:4" x14ac:dyDescent="0.3">
      <c r="A48" t="s">
        <v>18</v>
      </c>
      <c r="B48" s="1">
        <v>0.62</v>
      </c>
      <c r="C48" s="1">
        <v>0.24</v>
      </c>
      <c r="D48" s="1">
        <v>0.14000000000000001</v>
      </c>
    </row>
    <row r="49" spans="1:4" x14ac:dyDescent="0.3">
      <c r="A49" t="s">
        <v>38</v>
      </c>
      <c r="B49" s="1">
        <v>0.67</v>
      </c>
      <c r="C49" s="1">
        <v>0.19</v>
      </c>
      <c r="D49" s="1">
        <v>0.14000000000000001</v>
      </c>
    </row>
    <row r="50" spans="1:4" x14ac:dyDescent="0.3">
      <c r="A50" t="s">
        <v>14</v>
      </c>
      <c r="B50" s="1">
        <v>0.64</v>
      </c>
      <c r="C50" s="1">
        <v>0.23</v>
      </c>
      <c r="D50" s="1">
        <v>0.13</v>
      </c>
    </row>
    <row r="51" spans="1:4" x14ac:dyDescent="0.3">
      <c r="A51" t="s">
        <v>22</v>
      </c>
      <c r="B51" s="1">
        <v>0.66</v>
      </c>
      <c r="C51" s="1">
        <v>0.21</v>
      </c>
      <c r="D51" s="1">
        <v>0.13</v>
      </c>
    </row>
    <row r="52" spans="1:4" x14ac:dyDescent="0.3">
      <c r="A52" t="s">
        <v>46</v>
      </c>
      <c r="B52" s="1">
        <v>0.7</v>
      </c>
      <c r="C52" s="1">
        <v>0.17</v>
      </c>
      <c r="D52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B7576-D866-444E-BED2-26244DF8786F}">
  <dimension ref="A1:D26"/>
  <sheetViews>
    <sheetView tabSelected="1" topLeftCell="A2" workbookViewId="0">
      <selection activeCell="E33" sqref="E33"/>
    </sheetView>
  </sheetViews>
  <sheetFormatPr defaultRowHeight="14.4" x14ac:dyDescent="0.3"/>
  <cols>
    <col min="1" max="1" width="13.44140625" bestFit="1" customWidth="1"/>
    <col min="2" max="2" width="18" bestFit="1" customWidth="1"/>
    <col min="3" max="3" width="16.88671875" bestFit="1" customWidth="1"/>
  </cols>
  <sheetData>
    <row r="1" spans="1:4" x14ac:dyDescent="0.3">
      <c r="A1" t="s">
        <v>56</v>
      </c>
      <c r="B1" t="s">
        <v>57</v>
      </c>
      <c r="C1" t="s">
        <v>53</v>
      </c>
      <c r="D1" t="s">
        <v>54</v>
      </c>
    </row>
    <row r="2" spans="1:4" x14ac:dyDescent="0.3">
      <c r="A2" t="s">
        <v>38</v>
      </c>
      <c r="B2" t="s">
        <v>58</v>
      </c>
      <c r="C2" s="2">
        <f>VLOOKUP('sales region lookup'!A2, 'by search term'!B:C, 2, FALSE)</f>
        <v>0.67</v>
      </c>
      <c r="D2" s="2">
        <f>_xlfn.XLOOKUP(A2, 'by search term'!B1:B52, 'by search term'!D1:D52, "not found")</f>
        <v>0.19</v>
      </c>
    </row>
    <row r="3" spans="1:4" x14ac:dyDescent="0.3">
      <c r="A3" t="s">
        <v>37</v>
      </c>
      <c r="B3" t="s">
        <v>58</v>
      </c>
      <c r="C3" s="2">
        <f>VLOOKUP('sales region lookup'!A3, 'by search term'!B:C, 2, FALSE)</f>
        <v>0.68</v>
      </c>
      <c r="D3" s="2">
        <f>_xlfn.XLOOKUP(A3, 'by search term'!B2:B53, 'by search term'!D2:D53, "not found")</f>
        <v>0.18</v>
      </c>
    </row>
    <row r="4" spans="1:4" x14ac:dyDescent="0.3">
      <c r="A4" t="s">
        <v>31</v>
      </c>
      <c r="B4" t="s">
        <v>58</v>
      </c>
      <c r="C4" s="2">
        <f>VLOOKUP('sales region lookup'!A4, 'by search term'!B:C, 2, FALSE)</f>
        <v>0.67</v>
      </c>
      <c r="D4" s="2">
        <f>_xlfn.XLOOKUP(A4, 'by search term'!B3:B54, 'by search term'!D3:D54, "not found")</f>
        <v>0.19</v>
      </c>
    </row>
    <row r="5" spans="1:4" x14ac:dyDescent="0.3">
      <c r="A5" t="s">
        <v>48</v>
      </c>
      <c r="B5" t="s">
        <v>58</v>
      </c>
      <c r="C5" s="2">
        <f>VLOOKUP('sales region lookup'!A5, 'by search term'!B:C, 2, FALSE)</f>
        <v>0.73</v>
      </c>
      <c r="D5" s="2">
        <f>_xlfn.XLOOKUP(A5, 'by search term'!B4:B55, 'by search term'!D4:D55, "not found")</f>
        <v>0.15</v>
      </c>
    </row>
    <row r="6" spans="1:4" x14ac:dyDescent="0.3">
      <c r="A6" t="s">
        <v>34</v>
      </c>
      <c r="B6" t="s">
        <v>59</v>
      </c>
      <c r="C6" s="2">
        <f>VLOOKUP('sales region lookup'!A6, 'by search term'!B:C, 2, FALSE)</f>
        <v>0.7</v>
      </c>
      <c r="D6" s="2">
        <f>_xlfn.XLOOKUP(A6, 'by search term'!B5:B56, 'by search term'!D5:D56, "not found")</f>
        <v>0.18</v>
      </c>
    </row>
    <row r="7" spans="1:4" x14ac:dyDescent="0.3">
      <c r="A7" t="s">
        <v>44</v>
      </c>
      <c r="B7" t="s">
        <v>59</v>
      </c>
      <c r="C7" s="2">
        <f>VLOOKUP('sales region lookup'!A7, 'by search term'!B:C, 2, FALSE)</f>
        <v>0.76</v>
      </c>
      <c r="D7" s="2">
        <f>_xlfn.XLOOKUP(A7, 'by search term'!B6:B57, 'by search term'!D6:D57, "not found")</f>
        <v>0.14000000000000001</v>
      </c>
    </row>
    <row r="8" spans="1:4" x14ac:dyDescent="0.3">
      <c r="A8" t="s">
        <v>35</v>
      </c>
      <c r="B8" t="s">
        <v>59</v>
      </c>
      <c r="C8" s="2">
        <f>VLOOKUP('sales region lookup'!A8, 'by search term'!B:C, 2, FALSE)</f>
        <v>0.7</v>
      </c>
      <c r="D8" s="2">
        <f>_xlfn.XLOOKUP(A8, 'by search term'!B7:B58, 'by search term'!D7:D58, "not found")</f>
        <v>0.18</v>
      </c>
    </row>
    <row r="9" spans="1:4" x14ac:dyDescent="0.3">
      <c r="A9" t="s">
        <v>42</v>
      </c>
      <c r="B9" t="s">
        <v>59</v>
      </c>
      <c r="C9" s="2">
        <f>VLOOKUP('sales region lookup'!A9, 'by search term'!B:C, 2, FALSE)</f>
        <v>0.68</v>
      </c>
      <c r="D9" s="2">
        <f>_xlfn.XLOOKUP(A9, 'by search term'!B8:B59, 'by search term'!D8:D59, "not found")</f>
        <v>0.17</v>
      </c>
    </row>
    <row r="10" spans="1:4" x14ac:dyDescent="0.3">
      <c r="A10" t="s">
        <v>22</v>
      </c>
      <c r="B10" t="s">
        <v>59</v>
      </c>
      <c r="C10" s="2">
        <f>VLOOKUP('sales region lookup'!A10, 'by search term'!B:C, 2, FALSE)</f>
        <v>0.66</v>
      </c>
      <c r="D10" s="2">
        <f>_xlfn.XLOOKUP(A10, 'by search term'!B9:B60, 'by search term'!D9:D60, "not found")</f>
        <v>0.21</v>
      </c>
    </row>
    <row r="11" spans="1:4" x14ac:dyDescent="0.3">
      <c r="A11" t="s">
        <v>21</v>
      </c>
      <c r="B11" t="s">
        <v>59</v>
      </c>
      <c r="C11" s="2">
        <f>VLOOKUP('sales region lookup'!A11, 'by search term'!B:C, 2, FALSE)</f>
        <v>0.66</v>
      </c>
      <c r="D11" s="2">
        <f>_xlfn.XLOOKUP(A11, 'by search term'!B10:B61, 'by search term'!D10:D61, "not found")</f>
        <v>0.2</v>
      </c>
    </row>
    <row r="13" spans="1:4" x14ac:dyDescent="0.3">
      <c r="A13" s="4" t="s">
        <v>57</v>
      </c>
      <c r="B13" s="4" t="s">
        <v>64</v>
      </c>
    </row>
    <row r="15" spans="1:4" x14ac:dyDescent="0.3">
      <c r="A15" s="5" t="s">
        <v>60</v>
      </c>
      <c r="B15" s="5" t="s">
        <v>62</v>
      </c>
      <c r="C15" s="5" t="s">
        <v>63</v>
      </c>
    </row>
    <row r="16" spans="1:4" x14ac:dyDescent="0.3">
      <c r="A16" s="3" t="s">
        <v>31</v>
      </c>
      <c r="B16" s="1">
        <v>0.67</v>
      </c>
      <c r="C16" s="1">
        <v>0.19</v>
      </c>
    </row>
    <row r="17" spans="1:3" x14ac:dyDescent="0.3">
      <c r="A17" s="3" t="s">
        <v>21</v>
      </c>
      <c r="B17" s="1">
        <v>0.66</v>
      </c>
      <c r="C17" s="1">
        <v>0.2</v>
      </c>
    </row>
    <row r="18" spans="1:3" x14ac:dyDescent="0.3">
      <c r="A18" s="3" t="s">
        <v>42</v>
      </c>
      <c r="B18" s="1">
        <v>0.68</v>
      </c>
      <c r="C18" s="1">
        <v>0.17</v>
      </c>
    </row>
    <row r="19" spans="1:3" x14ac:dyDescent="0.3">
      <c r="A19" s="3" t="s">
        <v>48</v>
      </c>
      <c r="B19" s="1">
        <v>0.73</v>
      </c>
      <c r="C19" s="1">
        <v>0.15</v>
      </c>
    </row>
    <row r="20" spans="1:3" x14ac:dyDescent="0.3">
      <c r="A20" s="3" t="s">
        <v>35</v>
      </c>
      <c r="B20" s="1">
        <v>0.7</v>
      </c>
      <c r="C20" s="1">
        <v>0.18</v>
      </c>
    </row>
    <row r="21" spans="1:3" x14ac:dyDescent="0.3">
      <c r="A21" s="3" t="s">
        <v>34</v>
      </c>
      <c r="B21" s="1">
        <v>0.7</v>
      </c>
      <c r="C21" s="1">
        <v>0.18</v>
      </c>
    </row>
    <row r="22" spans="1:3" x14ac:dyDescent="0.3">
      <c r="A22" s="3" t="s">
        <v>37</v>
      </c>
      <c r="B22" s="1">
        <v>0.68</v>
      </c>
      <c r="C22" s="1">
        <v>0.18</v>
      </c>
    </row>
    <row r="23" spans="1:3" x14ac:dyDescent="0.3">
      <c r="A23" s="3" t="s">
        <v>44</v>
      </c>
      <c r="B23" s="1">
        <v>0.76</v>
      </c>
      <c r="C23" s="1">
        <v>0.14000000000000001</v>
      </c>
    </row>
    <row r="24" spans="1:3" x14ac:dyDescent="0.3">
      <c r="A24" s="3" t="s">
        <v>38</v>
      </c>
      <c r="B24" s="1">
        <v>0.67</v>
      </c>
      <c r="C24" s="1">
        <v>0.19</v>
      </c>
    </row>
    <row r="25" spans="1:3" x14ac:dyDescent="0.3">
      <c r="A25" s="3" t="s">
        <v>22</v>
      </c>
      <c r="B25" s="1">
        <v>0.66</v>
      </c>
      <c r="C25" s="1">
        <v>0.21</v>
      </c>
    </row>
    <row r="26" spans="1:3" x14ac:dyDescent="0.3">
      <c r="A26" s="6" t="s">
        <v>61</v>
      </c>
      <c r="B26" s="7">
        <v>6.91</v>
      </c>
      <c r="C26" s="7">
        <v>1.79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Sheet1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kidus aklog</cp:lastModifiedBy>
  <dcterms:created xsi:type="dcterms:W3CDTF">2026-04-10T02:47:42Z</dcterms:created>
  <dcterms:modified xsi:type="dcterms:W3CDTF">2026-04-11T06:06:35Z</dcterms:modified>
</cp:coreProperties>
</file>